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'Experiments'!$A$1:$AA$1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A8493"/>
      <sz val="10"/>
    </font>
    <font>
      <name val="Arial"/>
      <b val="1"/>
      <color rgb="000D3B66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D3B66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22" customWidth="1" min="4" max="4"/>
    <col width="30" customWidth="1" min="5" max="5"/>
    <col width="2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6" customWidth="1" min="12" max="12"/>
    <col width="14" customWidth="1" min="13" max="13"/>
    <col width="16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8" customWidth="1" min="21" max="21"/>
    <col width="11" customWidth="1" min="22" max="22"/>
    <col width="11" customWidth="1" min="23" max="23"/>
    <col width="12" customWidth="1" min="24" max="24"/>
    <col width="12" customWidth="1" min="25" max="25"/>
    <col width="11" customWidth="1" min="26" max="26"/>
    <col width="11" customWidth="1" min="27" max="27"/>
  </cols>
  <sheetData>
    <row r="1" ht="34" customHeight="1">
      <c r="A1" s="1" t="inlineStr">
        <is>
          <t>Run ID</t>
        </is>
      </c>
      <c r="B1" s="1" t="inlineStr">
        <is>
          <t>Date</t>
        </is>
      </c>
      <c r="C1" s="1" t="inlineStr">
        <is>
          <t>Notes / what changed</t>
        </is>
      </c>
      <c r="D1" s="1" t="inlineStr">
        <is>
          <t>Chunking</t>
        </is>
      </c>
      <c r="E1" s="1" t="inlineStr">
        <is>
          <t>Embedding</t>
        </is>
      </c>
      <c r="F1" s="1" t="inlineStr">
        <is>
          <t>Retrieval</t>
        </is>
      </c>
      <c r="G1" s="1" t="inlineStr">
        <is>
          <t>MMR</t>
        </is>
      </c>
      <c r="H1" s="1" t="inlineStr">
        <is>
          <t>MMR λ</t>
        </is>
      </c>
      <c r="I1" s="1" t="inlineStr">
        <is>
          <t>top_k</t>
        </is>
      </c>
      <c r="J1" s="1" t="inlineStr">
        <is>
          <t>cand_k</t>
        </is>
      </c>
      <c r="K1" s="1" t="inlineStr">
        <is>
          <t>RRF k</t>
        </is>
      </c>
      <c r="L1" s="1" t="inlineStr">
        <is>
          <t>Metadata filter</t>
        </is>
      </c>
      <c r="M1" s="1" t="inlineStr">
        <is>
          <t>Generator</t>
        </is>
      </c>
      <c r="N1" s="1" t="inlineStr">
        <is>
          <t>Judge</t>
        </is>
      </c>
      <c r="O1" s="1" t="inlineStr">
        <is>
          <t>Fallback thr</t>
        </is>
      </c>
      <c r="P1" s="1" t="inlineStr">
        <is>
          <t>Context Relevance</t>
        </is>
      </c>
      <c r="Q1" s="1" t="inlineStr">
        <is>
          <t>Groundedness</t>
        </is>
      </c>
      <c r="R1" s="1" t="inlineStr">
        <is>
          <t>Answer Relevance</t>
        </is>
      </c>
      <c r="S1" s="1" t="inlineStr">
        <is>
          <t>RAG Triad</t>
        </is>
      </c>
      <c r="T1" s="1" t="inlineStr">
        <is>
          <t>Hit Rate@5</t>
        </is>
      </c>
      <c r="U1" s="1" t="inlineStr">
        <is>
          <t>MRR</t>
        </is>
      </c>
      <c r="V1" s="1" t="inlineStr">
        <is>
          <t>Context Recall</t>
        </is>
      </c>
      <c r="W1" s="1" t="inlineStr">
        <is>
          <t>Context Precision</t>
        </is>
      </c>
      <c r="X1" s="1" t="inlineStr">
        <is>
          <t>Answer Correctness</t>
        </is>
      </c>
      <c r="Y1" s="1" t="inlineStr">
        <is>
          <t>Citation Grounding</t>
        </is>
      </c>
      <c r="Z1" s="1" t="inlineStr">
        <is>
          <t>Fallback Correct</t>
        </is>
      </c>
      <c r="AA1" s="1" t="inlineStr">
        <is>
          <t>Latency (ms)</t>
        </is>
      </c>
    </row>
    <row r="2">
      <c r="A2" s="2" t="inlineStr">
        <is>
          <t>R01-baseline</t>
        </is>
      </c>
      <c r="B2" s="2" t="inlineStr">
        <is>
          <t>2026-06-04</t>
        </is>
      </c>
      <c r="C2" s="2" t="inlineStr">
        <is>
          <t>Pure hybrid, NO MMR (the 'before')</t>
        </is>
      </c>
      <c r="D2" s="2" t="inlineStr">
        <is>
          <t>Q&amp;A-aware (Q+A together)</t>
        </is>
      </c>
      <c r="E2" s="2" t="inlineStr">
        <is>
          <t>sentence-transformers / MiniLM-L6</t>
        </is>
      </c>
      <c r="F2" s="2" t="inlineStr">
        <is>
          <t>Hybrid (dense + BM25 → RRF)</t>
        </is>
      </c>
      <c r="G2" s="3" t="inlineStr">
        <is>
          <t>Off</t>
        </is>
      </c>
      <c r="H2" s="3" t="n"/>
      <c r="I2" s="3" t="n">
        <v>5</v>
      </c>
      <c r="J2" s="3" t="n">
        <v>20</v>
      </c>
      <c r="K2" s="3" t="n">
        <v>60</v>
      </c>
      <c r="L2" s="2" t="inlineStr">
        <is>
          <t>None</t>
        </is>
      </c>
      <c r="M2" s="2" t="inlineStr">
        <is>
          <t>extractive</t>
        </is>
      </c>
      <c r="N2" s="2" t="inlineStr">
        <is>
          <t>math (embedding)</t>
        </is>
      </c>
      <c r="O2" s="3" t="n">
        <v>0.4</v>
      </c>
      <c r="P2" s="4" t="n">
        <v>0.493</v>
      </c>
      <c r="Q2" s="4" t="n">
        <v>0.726</v>
      </c>
      <c r="R2" s="4" t="n">
        <v>0.671</v>
      </c>
      <c r="S2" s="4">
        <f>IFERROR(AVERAGE(P2:R2),"")</f>
        <v/>
      </c>
      <c r="T2" s="4" t="n">
        <v>0.9330000000000001</v>
      </c>
      <c r="U2" s="4" t="n">
        <v>0.839</v>
      </c>
      <c r="V2" s="4" t="n">
        <v>0.889</v>
      </c>
      <c r="W2" s="4" t="n">
        <v>0.267</v>
      </c>
      <c r="X2" s="4" t="n">
        <v>0.628</v>
      </c>
      <c r="Y2" s="4" t="n">
        <v>1</v>
      </c>
      <c r="Z2" s="4" t="n">
        <v>0.889</v>
      </c>
      <c r="AA2" s="5" t="n">
        <v>188</v>
      </c>
    </row>
    <row r="3">
      <c r="A3" s="6" t="inlineStr">
        <is>
          <t>R02-current</t>
        </is>
      </c>
      <c r="B3" s="6" t="inlineStr">
        <is>
          <t>2026-06-04</t>
        </is>
      </c>
      <c r="C3" s="6" t="inlineStr">
        <is>
          <t>DEPLOYED: hybrid + MMR + metadata filtering available</t>
        </is>
      </c>
      <c r="D3" s="6" t="inlineStr">
        <is>
          <t>Q&amp;A-aware (Q+A together)</t>
        </is>
      </c>
      <c r="E3" s="6" t="inlineStr">
        <is>
          <t>sentence-transformers / MiniLM-L6</t>
        </is>
      </c>
      <c r="F3" s="6" t="inlineStr">
        <is>
          <t>Hybrid (dense + BM25 → RRF)</t>
        </is>
      </c>
      <c r="G3" s="7" t="inlineStr">
        <is>
          <t>On</t>
        </is>
      </c>
      <c r="H3" s="7" t="n">
        <v>0.8</v>
      </c>
      <c r="I3" s="7" t="n">
        <v>5</v>
      </c>
      <c r="J3" s="7" t="n">
        <v>20</v>
      </c>
      <c r="K3" s="7" t="n">
        <v>60</v>
      </c>
      <c r="L3" s="6" t="inlineStr">
        <is>
          <t>None</t>
        </is>
      </c>
      <c r="M3" s="6" t="inlineStr">
        <is>
          <t>extractive</t>
        </is>
      </c>
      <c r="N3" s="6" t="inlineStr">
        <is>
          <t>math (embedding)</t>
        </is>
      </c>
      <c r="O3" s="7" t="n">
        <v>0.4</v>
      </c>
      <c r="P3" s="8" t="n">
        <v>0.489</v>
      </c>
      <c r="Q3" s="8" t="n">
        <v>0.714</v>
      </c>
      <c r="R3" s="8" t="n">
        <v>0.668</v>
      </c>
      <c r="S3" s="8">
        <f>IFERROR(AVERAGE(P3:R3),"")</f>
        <v/>
      </c>
      <c r="T3" s="8" t="n">
        <v>0.9330000000000001</v>
      </c>
      <c r="U3" s="8" t="n">
        <v>0.844</v>
      </c>
      <c r="V3" s="8" t="n">
        <v>0.889</v>
      </c>
      <c r="W3" s="8" t="n">
        <v>0.267</v>
      </c>
      <c r="X3" s="8" t="n">
        <v>0.618</v>
      </c>
      <c r="Y3" s="8" t="n">
        <v>1</v>
      </c>
      <c r="Z3" s="8" t="n">
        <v>0.889</v>
      </c>
      <c r="AA3" s="9" t="n">
        <v>360</v>
      </c>
    </row>
    <row r="4">
      <c r="A4" s="10" t="inlineStr">
        <is>
          <t>R03</t>
        </is>
      </c>
      <c r="B4" s="2" t="inlineStr"/>
      <c r="C4" s="2" t="inlineStr">
        <is>
          <t>TF-IDF embeddings (no PyTorch) — lighter; measure quality drop</t>
        </is>
      </c>
      <c r="D4" s="2" t="inlineStr">
        <is>
          <t>Q&amp;A-aware (Q+A together)</t>
        </is>
      </c>
      <c r="E4" s="2" t="inlineStr">
        <is>
          <t>tfidf (1-2gram)</t>
        </is>
      </c>
      <c r="F4" s="2" t="inlineStr">
        <is>
          <t>Hybrid (dense + BM25 → RRF)</t>
        </is>
      </c>
      <c r="G4" s="3" t="inlineStr">
        <is>
          <t>On</t>
        </is>
      </c>
      <c r="H4" s="3" t="n">
        <v>0.8</v>
      </c>
      <c r="I4" s="3" t="n">
        <v>5</v>
      </c>
      <c r="J4" s="3" t="n">
        <v>20</v>
      </c>
      <c r="K4" s="3" t="n">
        <v>60</v>
      </c>
      <c r="L4" s="2" t="inlineStr">
        <is>
          <t>None</t>
        </is>
      </c>
      <c r="M4" s="2" t="inlineStr">
        <is>
          <t>extractive</t>
        </is>
      </c>
      <c r="N4" s="2" t="inlineStr">
        <is>
          <t>math (embedding)</t>
        </is>
      </c>
      <c r="O4" s="3" t="n">
        <v>0.06</v>
      </c>
      <c r="P4" s="4" t="n"/>
      <c r="Q4" s="4" t="n"/>
      <c r="R4" s="4" t="n"/>
      <c r="S4" s="4">
        <f>IFERROR(AVERAGE(P4:R4),"")</f>
        <v/>
      </c>
      <c r="T4" s="4" t="n"/>
      <c r="U4" s="4" t="n"/>
      <c r="V4" s="4" t="n"/>
      <c r="W4" s="4" t="n"/>
      <c r="X4" s="4" t="n"/>
      <c r="Y4" s="4" t="n"/>
      <c r="Z4" s="4" t="n"/>
      <c r="AA4" s="5" t="n"/>
    </row>
    <row r="5">
      <c r="A5" s="10" t="inlineStr">
        <is>
          <t>R04</t>
        </is>
      </c>
      <c r="B5" s="2" t="inlineStr"/>
      <c r="C5" s="2" t="inlineStr">
        <is>
          <t>top_k = 3 — tighter context, may raise Context Relevance</t>
        </is>
      </c>
      <c r="D5" s="2" t="inlineStr">
        <is>
          <t>Q&amp;A-aware (Q+A together)</t>
        </is>
      </c>
      <c r="E5" s="2" t="inlineStr">
        <is>
          <t>sentence-transformers / MiniLM-L6</t>
        </is>
      </c>
      <c r="F5" s="2" t="inlineStr">
        <is>
          <t>Hybrid (dense + BM25 → RRF)</t>
        </is>
      </c>
      <c r="G5" s="3" t="inlineStr">
        <is>
          <t>On</t>
        </is>
      </c>
      <c r="H5" s="3" t="n">
        <v>0.8</v>
      </c>
      <c r="I5" s="3" t="n">
        <v>3</v>
      </c>
      <c r="J5" s="3" t="n">
        <v>20</v>
      </c>
      <c r="K5" s="3" t="n">
        <v>60</v>
      </c>
      <c r="L5" s="2" t="inlineStr">
        <is>
          <t>None</t>
        </is>
      </c>
      <c r="M5" s="2" t="inlineStr">
        <is>
          <t>extractive</t>
        </is>
      </c>
      <c r="N5" s="2" t="inlineStr">
        <is>
          <t>math (embedding)</t>
        </is>
      </c>
      <c r="O5" s="3" t="n">
        <v>0.4</v>
      </c>
      <c r="P5" s="4" t="n"/>
      <c r="Q5" s="4" t="n"/>
      <c r="R5" s="4" t="n"/>
      <c r="S5" s="4">
        <f>IFERROR(AVERAGE(P5:R5),"")</f>
        <v/>
      </c>
      <c r="T5" s="4" t="n"/>
      <c r="U5" s="4" t="n"/>
      <c r="V5" s="4" t="n"/>
      <c r="W5" s="4" t="n"/>
      <c r="X5" s="4" t="n"/>
      <c r="Y5" s="4" t="n"/>
      <c r="Z5" s="4" t="n"/>
      <c r="AA5" s="5" t="n"/>
    </row>
    <row r="6">
      <c r="A6" s="10" t="inlineStr">
        <is>
          <t>R05</t>
        </is>
      </c>
      <c r="B6" s="2" t="inlineStr"/>
      <c r="C6" s="2" t="inlineStr">
        <is>
          <t>MMR λ = 0.5 — more diversity; watch Context Recall</t>
        </is>
      </c>
      <c r="D6" s="2" t="inlineStr">
        <is>
          <t>Q&amp;A-aware (Q+A together)</t>
        </is>
      </c>
      <c r="E6" s="2" t="inlineStr">
        <is>
          <t>sentence-transformers / MiniLM-L6</t>
        </is>
      </c>
      <c r="F6" s="2" t="inlineStr">
        <is>
          <t>Hybrid (dense + BM25 → RRF)</t>
        </is>
      </c>
      <c r="G6" s="3" t="inlineStr">
        <is>
          <t>On</t>
        </is>
      </c>
      <c r="H6" s="3" t="n">
        <v>0.5</v>
      </c>
      <c r="I6" s="3" t="n">
        <v>5</v>
      </c>
      <c r="J6" s="3" t="n">
        <v>20</v>
      </c>
      <c r="K6" s="3" t="n">
        <v>60</v>
      </c>
      <c r="L6" s="2" t="inlineStr">
        <is>
          <t>None</t>
        </is>
      </c>
      <c r="M6" s="2" t="inlineStr">
        <is>
          <t>extractive</t>
        </is>
      </c>
      <c r="N6" s="2" t="inlineStr">
        <is>
          <t>math (embedding)</t>
        </is>
      </c>
      <c r="O6" s="3" t="n">
        <v>0.4</v>
      </c>
      <c r="P6" s="4" t="n"/>
      <c r="Q6" s="4" t="n"/>
      <c r="R6" s="4" t="n"/>
      <c r="S6" s="4">
        <f>IFERROR(AVERAGE(P6:R6),"")</f>
        <v/>
      </c>
      <c r="T6" s="4" t="n"/>
      <c r="U6" s="4" t="n"/>
      <c r="V6" s="4" t="n"/>
      <c r="W6" s="4" t="n"/>
      <c r="X6" s="4" t="n"/>
      <c r="Y6" s="4" t="n"/>
      <c r="Z6" s="4" t="n"/>
      <c r="AA6" s="5" t="n"/>
    </row>
    <row r="7">
      <c r="A7" s="10" t="inlineStr">
        <is>
          <t>R06</t>
        </is>
      </c>
      <c r="B7" s="2" t="inlineStr"/>
      <c r="C7" s="2" t="inlineStr">
        <is>
          <t>Dense-only retrieval (drop BM25)</t>
        </is>
      </c>
      <c r="D7" s="2" t="inlineStr">
        <is>
          <t>Q&amp;A-aware (Q+A together)</t>
        </is>
      </c>
      <c r="E7" s="2" t="inlineStr">
        <is>
          <t>sentence-transformers / MiniLM-L6</t>
        </is>
      </c>
      <c r="F7" s="2" t="inlineStr">
        <is>
          <t>Dense only</t>
        </is>
      </c>
      <c r="G7" s="3" t="inlineStr">
        <is>
          <t>On</t>
        </is>
      </c>
      <c r="H7" s="3" t="n">
        <v>0.8</v>
      </c>
      <c r="I7" s="3" t="n">
        <v>5</v>
      </c>
      <c r="J7" s="3" t="n">
        <v>20</v>
      </c>
      <c r="K7" s="3" t="n">
        <v>60</v>
      </c>
      <c r="L7" s="2" t="inlineStr">
        <is>
          <t>None</t>
        </is>
      </c>
      <c r="M7" s="2" t="inlineStr">
        <is>
          <t>extractive</t>
        </is>
      </c>
      <c r="N7" s="2" t="inlineStr">
        <is>
          <t>math (embedding)</t>
        </is>
      </c>
      <c r="O7" s="3" t="n">
        <v>0.4</v>
      </c>
      <c r="P7" s="4" t="n"/>
      <c r="Q7" s="4" t="n"/>
      <c r="R7" s="4" t="n"/>
      <c r="S7" s="4">
        <f>IFERROR(AVERAGE(P7:R7),"")</f>
        <v/>
      </c>
      <c r="T7" s="4" t="n"/>
      <c r="U7" s="4" t="n"/>
      <c r="V7" s="4" t="n"/>
      <c r="W7" s="4" t="n"/>
      <c r="X7" s="4" t="n"/>
      <c r="Y7" s="4" t="n"/>
      <c r="Z7" s="4" t="n"/>
      <c r="AA7" s="5" t="n"/>
    </row>
    <row r="8">
      <c r="A8" s="10" t="inlineStr">
        <is>
          <t>R07</t>
        </is>
      </c>
      <c r="B8" s="2" t="inlineStr"/>
      <c r="C8" s="2" t="inlineStr">
        <is>
          <t>BM25-only retrieval (drop embeddings)</t>
        </is>
      </c>
      <c r="D8" s="2" t="inlineStr">
        <is>
          <t>Q&amp;A-aware (Q+A together)</t>
        </is>
      </c>
      <c r="E8" s="2" t="inlineStr">
        <is>
          <t>sentence-transformers / MiniLM-L6</t>
        </is>
      </c>
      <c r="F8" s="2" t="inlineStr">
        <is>
          <t>BM25 only</t>
        </is>
      </c>
      <c r="G8" s="3" t="inlineStr">
        <is>
          <t>On</t>
        </is>
      </c>
      <c r="H8" s="3" t="n">
        <v>0.8</v>
      </c>
      <c r="I8" s="3" t="n">
        <v>5</v>
      </c>
      <c r="J8" s="3" t="n">
        <v>20</v>
      </c>
      <c r="K8" s="3" t="n">
        <v>60</v>
      </c>
      <c r="L8" s="2" t="inlineStr">
        <is>
          <t>None</t>
        </is>
      </c>
      <c r="M8" s="2" t="inlineStr">
        <is>
          <t>extractive</t>
        </is>
      </c>
      <c r="N8" s="2" t="inlineStr">
        <is>
          <t>math (embedding)</t>
        </is>
      </c>
      <c r="O8" s="3" t="n">
        <v>0.4</v>
      </c>
      <c r="P8" s="4" t="n"/>
      <c r="Q8" s="4" t="n"/>
      <c r="R8" s="4" t="n"/>
      <c r="S8" s="4">
        <f>IFERROR(AVERAGE(P8:R8),"")</f>
        <v/>
      </c>
      <c r="T8" s="4" t="n"/>
      <c r="U8" s="4" t="n"/>
      <c r="V8" s="4" t="n"/>
      <c r="W8" s="4" t="n"/>
      <c r="X8" s="4" t="n"/>
      <c r="Y8" s="4" t="n"/>
      <c r="Z8" s="4" t="n"/>
      <c r="AA8" s="5" t="n"/>
    </row>
    <row r="9">
      <c r="A9" s="10" t="inlineStr">
        <is>
          <t>R08</t>
        </is>
      </c>
      <c r="B9" s="2" t="inlineStr"/>
      <c r="C9" s="2" t="inlineStr">
        <is>
          <t>LLM generation + LLM-as-judge (OpenAI)</t>
        </is>
      </c>
      <c r="D9" s="2" t="inlineStr">
        <is>
          <t>Q&amp;A-aware (Q+A together)</t>
        </is>
      </c>
      <c r="E9" s="2" t="inlineStr">
        <is>
          <t>sentence-transformers / MiniLM-L6</t>
        </is>
      </c>
      <c r="F9" s="2" t="inlineStr">
        <is>
          <t>Hybrid (dense + BM25 → RRF)</t>
        </is>
      </c>
      <c r="G9" s="3" t="inlineStr">
        <is>
          <t>On</t>
        </is>
      </c>
      <c r="H9" s="3" t="n">
        <v>0.8</v>
      </c>
      <c r="I9" s="3" t="n">
        <v>5</v>
      </c>
      <c r="J9" s="3" t="n">
        <v>20</v>
      </c>
      <c r="K9" s="3" t="n">
        <v>60</v>
      </c>
      <c r="L9" s="2" t="inlineStr">
        <is>
          <t>None</t>
        </is>
      </c>
      <c r="M9" s="2" t="inlineStr">
        <is>
          <t>openai gpt-4o-mini</t>
        </is>
      </c>
      <c r="N9" s="2" t="inlineStr">
        <is>
          <t>LLM-as-judge</t>
        </is>
      </c>
      <c r="O9" s="3" t="n">
        <v>0.4</v>
      </c>
      <c r="P9" s="4" t="n"/>
      <c r="Q9" s="4" t="n"/>
      <c r="R9" s="4" t="n"/>
      <c r="S9" s="4">
        <f>IFERROR(AVERAGE(P9:R9),"")</f>
        <v/>
      </c>
      <c r="T9" s="4" t="n"/>
      <c r="U9" s="4" t="n"/>
      <c r="V9" s="4" t="n"/>
      <c r="W9" s="4" t="n"/>
      <c r="X9" s="4" t="n"/>
      <c r="Y9" s="4" t="n"/>
      <c r="Z9" s="4" t="n"/>
      <c r="AA9" s="5" t="n"/>
    </row>
    <row r="10">
      <c r="A10" s="10" t="inlineStr">
        <is>
          <t>R09</t>
        </is>
      </c>
      <c r="B10" s="2" t="inlineStr"/>
      <c r="C10" s="2" t="inlineStr">
        <is>
          <t>Context Relevance = mean of top-3 (fairer metric)</t>
        </is>
      </c>
      <c r="D10" s="2" t="inlineStr">
        <is>
          <t>Q&amp;A-aware (Q+A together)</t>
        </is>
      </c>
      <c r="E10" s="2" t="inlineStr">
        <is>
          <t>sentence-transformers / MiniLM-L6</t>
        </is>
      </c>
      <c r="F10" s="2" t="inlineStr">
        <is>
          <t>Hybrid (dense + BM25 → RRF)</t>
        </is>
      </c>
      <c r="G10" s="3" t="inlineStr">
        <is>
          <t>On</t>
        </is>
      </c>
      <c r="H10" s="3" t="n">
        <v>0.8</v>
      </c>
      <c r="I10" s="3" t="n">
        <v>5</v>
      </c>
      <c r="J10" s="3" t="n">
        <v>20</v>
      </c>
      <c r="K10" s="3" t="n">
        <v>60</v>
      </c>
      <c r="L10" s="2" t="inlineStr">
        <is>
          <t>None</t>
        </is>
      </c>
      <c r="M10" s="2" t="inlineStr">
        <is>
          <t>extractive</t>
        </is>
      </c>
      <c r="N10" s="2" t="inlineStr">
        <is>
          <t>math (embedding)</t>
        </is>
      </c>
      <c r="O10" s="3" t="n">
        <v>0.4</v>
      </c>
      <c r="P10" s="4" t="n"/>
      <c r="Q10" s="4" t="n"/>
      <c r="R10" s="4" t="n"/>
      <c r="S10" s="4">
        <f>IFERROR(AVERAGE(P10:R10),"")</f>
        <v/>
      </c>
      <c r="T10" s="4" t="n"/>
      <c r="U10" s="4" t="n"/>
      <c r="V10" s="4" t="n"/>
      <c r="W10" s="4" t="n"/>
      <c r="X10" s="4" t="n"/>
      <c r="Y10" s="4" t="n"/>
      <c r="Z10" s="4" t="n"/>
      <c r="AA10" s="5" t="n"/>
    </row>
  </sheetData>
  <autoFilter ref="A1:AA1"/>
  <conditionalFormatting sqref="P2:Z20">
    <cfRule type="colorScale" priority="1">
      <colorScale>
        <cfvo type="num" val="0"/>
        <cfvo type="num" val="0.6"/>
        <cfvo type="num" val="1"/>
        <color rgb="00F4A582"/>
        <color rgb="00FFFFBF"/>
        <color rgb="00A6D96A"/>
      </colorScale>
    </cfRule>
  </conditionalFormatting>
  <conditionalFormatting sqref="AA2:AA20">
    <cfRule type="colorScale" priority="2">
      <colorScale>
        <cfvo type="min"/>
        <cfvo type="max"/>
        <color rgb="00A6D96A"/>
        <color rgb="00F4A58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1" t="inlineStr">
        <is>
          <t>How to use this tracker</t>
        </is>
      </c>
    </row>
    <row r="2">
      <c r="A2" s="12" t="inlineStr"/>
      <c r="B2" s="13" t="inlineStr"/>
    </row>
    <row r="3">
      <c r="A3" s="14" t="inlineStr">
        <is>
          <t>Workflow</t>
        </is>
      </c>
      <c r="B3" s="13" t="inlineStr">
        <is>
          <t>Change ONE part of the pipeline (an env var in rag_app/config.py, or the UI), run `python run_eval.py`, then add a new row here with the config + the printed scores.</t>
        </is>
      </c>
    </row>
    <row r="4">
      <c r="A4" s="12" t="inlineStr"/>
      <c r="B4" s="13" t="inlineStr"/>
    </row>
    <row r="5">
      <c r="A5" s="15" t="inlineStr">
        <is>
          <t>— Design choices —</t>
        </is>
      </c>
      <c r="B5" s="13" t="inlineStr"/>
    </row>
    <row r="6">
      <c r="A6" s="12" t="inlineStr">
        <is>
          <t>Chunking</t>
        </is>
      </c>
      <c r="B6" s="13" t="inlineStr">
        <is>
          <t>How documents are split. Current: Q&amp;A-aware (each chunk = one question + its full answer).</t>
        </is>
      </c>
    </row>
    <row r="7">
      <c r="A7" s="12" t="inlineStr">
        <is>
          <t>Embedding</t>
        </is>
      </c>
      <c r="B7" s="13" t="inlineStr">
        <is>
          <t>Vector model for dense retrieval. MiniLM (semantic) / tfidf (lexical) / openai.</t>
        </is>
      </c>
    </row>
    <row r="8">
      <c r="A8" s="12" t="inlineStr">
        <is>
          <t>Retrieval</t>
        </is>
      </c>
      <c r="B8" s="13" t="inlineStr">
        <is>
          <t>Hybrid (dense+BM25→RRF) / Dense only / BM25 only.</t>
        </is>
      </c>
    </row>
    <row r="9">
      <c r="A9" s="12" t="inlineStr">
        <is>
          <t>MMR / λ</t>
        </is>
      </c>
      <c r="B9" s="13" t="inlineStr">
        <is>
          <t>Maximal Marginal Relevance de-duplication. λ=1 pure relevance, λ=0 pure diversity.</t>
        </is>
      </c>
    </row>
    <row r="10">
      <c r="A10" s="12" t="inlineStr">
        <is>
          <t>top_k</t>
        </is>
      </c>
      <c r="B10" s="13" t="inlineStr">
        <is>
          <t>Chunks passed to the answerer. cand_k = candidates pulled per signal. RRF k = fusion constant.</t>
        </is>
      </c>
    </row>
    <row r="11">
      <c r="A11" s="12" t="inlineStr">
        <is>
          <t>Metadata filter</t>
        </is>
      </c>
      <c r="B11" s="13" t="inlineStr">
        <is>
          <t>Restrict to country/specialty/topic before ranking.</t>
        </is>
      </c>
    </row>
    <row r="12">
      <c r="A12" s="12" t="inlineStr">
        <is>
          <t>Generator</t>
        </is>
      </c>
      <c r="B12" s="13" t="inlineStr">
        <is>
          <t>extractive (no key) / openai / anthropic.</t>
        </is>
      </c>
    </row>
    <row r="13">
      <c r="A13" s="12" t="inlineStr">
        <is>
          <t>Judge</t>
        </is>
      </c>
      <c r="B13" s="13" t="inlineStr">
        <is>
          <t>How metrics are scored: math (embedding proxies, no key) / LLM-as-judge.</t>
        </is>
      </c>
    </row>
    <row r="14">
      <c r="A14" s="12" t="inlineStr">
        <is>
          <t>Fallback thr</t>
        </is>
      </c>
      <c r="B14" s="13" t="inlineStr">
        <is>
          <t>Min similarity to answer; below it the engine abstains with a reason.</t>
        </is>
      </c>
    </row>
    <row r="15">
      <c r="A15" s="12" t="inlineStr"/>
      <c r="B15" s="13" t="inlineStr"/>
    </row>
    <row r="16">
      <c r="A16" s="15" t="inlineStr">
        <is>
          <t>— Metrics (0–1, higher better; RAG Triad = mean of first three) —</t>
        </is>
      </c>
      <c r="B16" s="13" t="inlineStr"/>
    </row>
    <row r="17">
      <c r="A17" s="12" t="inlineStr">
        <is>
          <t>Context Relevance</t>
        </is>
      </c>
      <c r="B17" s="13" t="inlineStr">
        <is>
          <t>Are retrieved chunks on-topic for the question? (RAG Triad)</t>
        </is>
      </c>
    </row>
    <row r="18">
      <c r="A18" s="12" t="inlineStr">
        <is>
          <t>Groundedness</t>
        </is>
      </c>
      <c r="B18" s="13" t="inlineStr">
        <is>
          <t>Is every claim in the answer supported by the retrieved context? (RAG Triad)</t>
        </is>
      </c>
    </row>
    <row r="19">
      <c r="A19" s="12" t="inlineStr">
        <is>
          <t>Answer Relevance</t>
        </is>
      </c>
      <c r="B19" s="13" t="inlineStr">
        <is>
          <t>Does the answer actually address the question? (RAG Triad)</t>
        </is>
      </c>
    </row>
    <row r="20">
      <c r="A20" s="12" t="inlineStr">
        <is>
          <t>Hit Rate@5 / MRR</t>
        </is>
      </c>
      <c r="B20" s="13" t="inlineStr">
        <is>
          <t>Did we retrieve a gold chunk, and how high was the first one?</t>
        </is>
      </c>
    </row>
    <row r="21">
      <c r="A21" s="12" t="inlineStr">
        <is>
          <t>Context Recall</t>
        </is>
      </c>
      <c r="B21" s="13" t="inlineStr">
        <is>
          <t>Fraction of expected gold chunks retrieved.</t>
        </is>
      </c>
    </row>
    <row r="22">
      <c r="A22" s="12" t="inlineStr">
        <is>
          <t>Context Precision</t>
        </is>
      </c>
      <c r="B22" s="13" t="inlineStr">
        <is>
          <t>Fraction of retrieved chunks that are gold. NOTE: low ceiling (~0.2–0.4) because the golden set lists only 1–3 ideal chunks per question — not a quality failure.</t>
        </is>
      </c>
    </row>
    <row r="23">
      <c r="A23" s="12" t="inlineStr">
        <is>
          <t>Answer Correctness</t>
        </is>
      </c>
      <c r="B23" s="13" t="inlineStr">
        <is>
          <t>Similarity of the answer to the ideal/reference answer.</t>
        </is>
      </c>
    </row>
    <row r="24">
      <c r="A24" s="12" t="inlineStr">
        <is>
          <t>Citation Grounding</t>
        </is>
      </c>
      <c r="B24" s="13" t="inlineStr">
        <is>
          <t>Fraction of quoted citation lines that truly appear in their cited source chunk.</t>
        </is>
      </c>
    </row>
    <row r="25">
      <c r="A25" s="12" t="inlineStr">
        <is>
          <t>Fallback Correct</t>
        </is>
      </c>
      <c r="B25" s="13" t="inlineStr">
        <is>
          <t>Fraction of questions where the engine abstained exactly when it should.</t>
        </is>
      </c>
    </row>
    <row r="26">
      <c r="A26" s="12" t="inlineStr">
        <is>
          <t>Latency (ms)</t>
        </is>
      </c>
      <c r="B26" s="13" t="inlineStr">
        <is>
          <t>Per-question time. Machine-dependent; first call includes model warm-up — compare on the same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2026-06-04T09:34:48Z</dcterms:created>
  <dcterms:modified xmlns:dcterms="http://purl.org/dc/terms/" xmlns:xsi="http://www.w3.org/2001/XMLSchema-instance" xsi:type="dcterms:W3CDTF">2026-06-04T09:34:48Z</dcterms:modified>
</cp:coreProperties>
</file>